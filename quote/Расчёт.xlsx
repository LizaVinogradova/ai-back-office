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" sheetId="1" state="visible" r:id="rId1"/>
    <sheet xmlns:r="http://schemas.openxmlformats.org/officeDocument/2006/relationships" name="Роли" sheetId="2" state="visible" r:id="rId2"/>
    <sheet xmlns:r="http://schemas.openxmlformats.org/officeDocument/2006/relationships" name="ТМЦ" sheetId="3" state="visible" r:id="rId3"/>
    <sheet xmlns:r="http://schemas.openxmlformats.org/officeDocument/2006/relationships" name="Анализ_рынка" sheetId="4" state="visible" r:id="rId4"/>
    <sheet xmlns:r="http://schemas.openxmlformats.org/officeDocument/2006/relationships" name="ОКВЭДы" sheetId="5" state="visible" r:id="rId5"/>
    <sheet xmlns:r="http://schemas.openxmlformats.org/officeDocument/2006/relationships" name="Доп_расходы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 ₽"/>
    <numFmt numFmtId="165" formatCode="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002060"/>
    </font>
    <font>
      <i val="1"/>
      <color rgb="0080808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7" t="inlineStr">
        <is>
          <t>Проект:</t>
        </is>
      </c>
      <c r="B1" s="7" t="inlineStr">
        <is>
          <t>AI Day для педагогов</t>
        </is>
      </c>
    </row>
    <row r="2">
      <c r="A2" s="8" t="inlineStr">
        <is>
          <t>Заказчик:</t>
        </is>
      </c>
      <c r="B2" s="8" t="inlineStr">
        <is>
          <t>АО «Просветительский Холдинг»</t>
        </is>
      </c>
    </row>
    <row r="3">
      <c r="A3" s="8" t="inlineStr">
        <is>
          <t>Дата составления расчёта:</t>
        </is>
      </c>
      <c r="B3" s="8" t="inlineStr">
        <is>
          <t>18.06.2026</t>
        </is>
      </c>
    </row>
    <row r="4">
      <c r="A4" s="8" t="n"/>
      <c r="B4" s="8" t="n"/>
    </row>
    <row r="5">
      <c r="A5" s="9" t="inlineStr">
        <is>
          <t>РАЗБИВКА СТАРТОВОЙ ЦЕНЫ</t>
        </is>
      </c>
      <c r="B5" s="8" t="n"/>
    </row>
    <row r="6">
      <c r="A6" s="8" t="inlineStr">
        <is>
          <t>ФОТ (фонд оплаты труда)</t>
        </is>
      </c>
      <c r="B6" s="10">
        <f>'Доп_расходы'!B2</f>
        <v/>
      </c>
    </row>
    <row r="7">
      <c r="A7" s="8" t="inlineStr">
        <is>
          <t>ТМЦ (товарно-материальные ценности)</t>
        </is>
      </c>
      <c r="B7" s="10">
        <f>'Доп_расходы'!B3</f>
        <v/>
      </c>
    </row>
    <row r="8">
      <c r="A8" s="8" t="inlineStr">
        <is>
          <t>Прямые затраты (ФОТ + ТМЦ)</t>
        </is>
      </c>
      <c r="B8" s="10">
        <f>'Доп_расходы'!B4</f>
        <v/>
      </c>
    </row>
    <row r="9">
      <c r="A9" s="8" t="inlineStr">
        <is>
          <t>Накладные расходы (20%)</t>
        </is>
      </c>
      <c r="B9" s="10">
        <f>'Доп_расходы'!B5</f>
        <v/>
      </c>
    </row>
    <row r="10">
      <c r="A10" s="8" t="inlineStr">
        <is>
          <t>Прибыль (5%)</t>
        </is>
      </c>
      <c r="B10" s="10">
        <f>'Доп_расходы'!B6</f>
        <v/>
      </c>
    </row>
    <row r="11">
      <c r="A11" s="8" t="inlineStr">
        <is>
          <t>Итого без НДС</t>
        </is>
      </c>
      <c r="B11" s="10">
        <f>'Доп_расходы'!B7</f>
        <v/>
      </c>
    </row>
    <row r="12">
      <c r="A12" s="8" t="inlineStr">
        <is>
          <t>НДС (20%)</t>
        </is>
      </c>
      <c r="B12" s="10">
        <f>'Доп_расходы'!B8</f>
        <v/>
      </c>
    </row>
    <row r="13">
      <c r="A13" s="11" t="inlineStr">
        <is>
          <t>ИТОГОВАЯ СТАРТОВАЯ ЦЕНА КОНТРАКТА</t>
        </is>
      </c>
      <c r="B13" s="12">
        <f>'Доп_расходы'!B9</f>
        <v/>
      </c>
    </row>
    <row r="14">
      <c r="A14" s="8" t="n"/>
      <c r="B14" s="8" t="n"/>
    </row>
    <row r="15">
      <c r="A15" s="8" t="n"/>
      <c r="B15" s="8" t="n"/>
    </row>
    <row r="16">
      <c r="A16" s="9" t="inlineStr">
        <is>
          <t>ПРИМЕНЁННАЯ МЕТОДИКА</t>
        </is>
      </c>
      <c r="B16" s="8" t="n"/>
    </row>
    <row r="17">
      <c r="A17" s="8" t="inlineStr">
        <is>
          <t>Метод расчёта</t>
        </is>
      </c>
      <c r="B17" s="13" t="inlineStr">
        <is>
          <t>Затратный метод: прямые затраты + накладные расходы + прибыль + НДС; Корпоративный стандарт kpop, разд. II.</t>
        </is>
      </c>
    </row>
    <row r="18">
      <c r="A18" s="8" t="inlineStr">
        <is>
          <t>Применённый порог КВ, %</t>
        </is>
      </c>
      <c r="B18" s="13" t="inlineStr">
        <is>
          <t>20%; применён более строгий порог из письма Минпросвещения от 20.11.2025 № 07-1234/2025, п. 2.</t>
        </is>
      </c>
    </row>
    <row r="19">
      <c r="A19" s="8" t="inlineStr">
        <is>
          <t>Источник ставок ФОТ</t>
        </is>
      </c>
      <c r="B19" s="13" t="inlineStr">
        <is>
          <t>regulations/okved-rates-mos-ru.csv, выгрузка 01.09.2026; Корпоративный стандарт kpop, разд. IV.</t>
        </is>
      </c>
    </row>
    <row r="20">
      <c r="A20" s="8" t="inlineStr">
        <is>
          <t>Лимит накладных расходов, % от прямых</t>
        </is>
      </c>
      <c r="B20" s="13" t="inlineStr">
        <is>
          <t>20%; Корпоративный стандарт kpop, разд. VI.</t>
        </is>
      </c>
    </row>
    <row r="21">
      <c r="A21" s="8" t="inlineStr">
        <is>
          <t>Лимит прибыли, % от прямых</t>
        </is>
      </c>
      <c r="B21" s="13" t="inlineStr">
        <is>
          <t>5%; Корпоративный стандарт kpop, разд. VI.</t>
        </is>
      </c>
    </row>
    <row r="22">
      <c r="A22" s="8" t="inlineStr">
        <is>
          <t>Найденные расхождения нормативки</t>
        </is>
      </c>
      <c r="B22" s="13" t="inlineStr">
        <is>
          <t>Расхождение: kpop допускает КВ до 33%, письмо Минпросвещения рекомендует 20%; выбран 20% как более строгий для бюджетного обоснования.</t>
        </is>
      </c>
    </row>
    <row r="23">
      <c r="A23" s="8" t="inlineStr">
        <is>
          <t>Скриншоты КП проверены оператором (по п. 5.3)</t>
        </is>
      </c>
      <c r="B23" s="13" t="inlineStr">
        <is>
          <t>Морозова И.А., 18.06.2026; проверка скриншотов КП по п. 5.3 корпоративного стандарта.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16" customWidth="1" min="8" max="8"/>
  </cols>
  <sheetData>
    <row r="1">
      <c r="A1" s="7" t="inlineStr">
        <is>
          <t>специалист</t>
        </is>
      </c>
      <c r="B1" s="7" t="inlineStr">
        <is>
          <t>количество_человек</t>
        </is>
      </c>
      <c r="C1" s="7" t="inlineStr">
        <is>
          <t>человеко_дни</t>
        </is>
      </c>
      <c r="D1" s="7" t="inlineStr">
        <is>
          <t>часов_в_день</t>
        </is>
      </c>
      <c r="E1" s="7" t="inlineStr">
        <is>
          <t>человеко_часы</t>
        </is>
      </c>
      <c r="F1" s="7" t="inlineStr">
        <is>
          <t>okved_code</t>
        </is>
      </c>
      <c r="G1" s="7" t="inlineStr">
        <is>
          <t>ставка_руб_час</t>
        </is>
      </c>
      <c r="H1" s="7" t="inlineStr">
        <is>
          <t>ФОТ_руб</t>
        </is>
      </c>
    </row>
    <row r="2">
      <c r="A2" s="8" t="inlineStr">
        <is>
          <t>Руководитель проекта</t>
        </is>
      </c>
      <c r="B2" s="14" t="n">
        <v>1</v>
      </c>
      <c r="C2" s="14" t="n">
        <v>5</v>
      </c>
      <c r="D2" s="14" t="n">
        <v>8</v>
      </c>
      <c r="E2" s="14">
        <f>B2*C2*D2</f>
        <v/>
      </c>
      <c r="F2" s="8" t="inlineStr">
        <is>
          <t>82.3</t>
        </is>
      </c>
      <c r="G2" s="14">
        <f>IFERROR(VLOOKUP(F2, 'ОКВЭДы'!$A$2:$C$26, 3, FALSE), "")</f>
        <v/>
      </c>
      <c r="H2" s="14">
        <f>IFERROR(E2*G2, "")</f>
        <v/>
      </c>
    </row>
    <row r="3">
      <c r="A3" s="8" t="inlineStr">
        <is>
          <t>Координатор регистрации и участников</t>
        </is>
      </c>
      <c r="B3" s="14" t="n">
        <v>2</v>
      </c>
      <c r="C3" s="14" t="n">
        <v>3</v>
      </c>
      <c r="D3" s="14" t="n">
        <v>8</v>
      </c>
      <c r="E3" s="14">
        <f>B3*C3*D3</f>
        <v/>
      </c>
      <c r="F3" s="8" t="inlineStr">
        <is>
          <t>82.3</t>
        </is>
      </c>
      <c r="G3" s="14">
        <f>IFERROR(VLOOKUP(F3, 'ОКВЭДы'!$A$2:$C$26, 3, FALSE), "")</f>
        <v/>
      </c>
      <c r="H3" s="14">
        <f>IFERROR(E3*G3, "")</f>
        <v/>
      </c>
    </row>
    <row r="4">
      <c r="A4" s="8" t="inlineStr">
        <is>
          <t>Технический координатор площадки</t>
        </is>
      </c>
      <c r="B4" s="14" t="n">
        <v>1</v>
      </c>
      <c r="C4" s="14" t="n">
        <v>4</v>
      </c>
      <c r="D4" s="14" t="n">
        <v>8</v>
      </c>
      <c r="E4" s="14">
        <f>B4*C4*D4</f>
        <v/>
      </c>
      <c r="F4" s="8" t="inlineStr">
        <is>
          <t>82.3</t>
        </is>
      </c>
      <c r="G4" s="14">
        <f>IFERROR(VLOOKUP(F4, 'ОКВЭДы'!$A$2:$C$26, 3, FALSE), "")</f>
        <v/>
      </c>
      <c r="H4" s="14">
        <f>IFERROR(E4*G4, "")</f>
        <v/>
      </c>
    </row>
    <row r="5">
      <c r="A5" s="8" t="inlineStr">
        <is>
          <t>Специалист по AV и звуку</t>
        </is>
      </c>
      <c r="B5" s="14" t="n">
        <v>1</v>
      </c>
      <c r="C5" s="14" t="n">
        <v>4</v>
      </c>
      <c r="D5" s="14" t="n">
        <v>8</v>
      </c>
      <c r="E5" s="14">
        <f>B5*C5*D5</f>
        <v/>
      </c>
      <c r="F5" s="8" t="inlineStr">
        <is>
          <t>59.2</t>
        </is>
      </c>
      <c r="G5" s="14">
        <f>IFERROR(VLOOKUP(F5, 'ОКВЭДы'!$A$2:$C$26, 3, FALSE), "")</f>
        <v/>
      </c>
      <c r="H5" s="14">
        <f>IFERROR(E5*G5, "")</f>
        <v/>
      </c>
    </row>
    <row r="6">
      <c r="A6" s="8" t="inlineStr">
        <is>
          <t>Дизайнер навигации и печатных материалов</t>
        </is>
      </c>
      <c r="B6" s="14" t="n">
        <v>1</v>
      </c>
      <c r="C6" s="14" t="n">
        <v>3</v>
      </c>
      <c r="D6" s="14" t="n">
        <v>8</v>
      </c>
      <c r="E6" s="14">
        <f>B6*C6*D6</f>
        <v/>
      </c>
      <c r="F6" s="8" t="inlineStr">
        <is>
          <t>74.1</t>
        </is>
      </c>
      <c r="G6" s="14">
        <f>IFERROR(VLOOKUP(F6, 'ОКВЭДы'!$A$2:$C$26, 3, FALSE), "")</f>
        <v/>
      </c>
      <c r="H6" s="14">
        <f>IFERROR(E6*G6, "")</f>
        <v/>
      </c>
    </row>
    <row r="7">
      <c r="A7" s="8" t="inlineStr">
        <is>
          <t>Специалист по закупкам и КП</t>
        </is>
      </c>
      <c r="B7" s="14" t="n">
        <v>1</v>
      </c>
      <c r="C7" s="14" t="n">
        <v>3</v>
      </c>
      <c r="D7" s="14" t="n">
        <v>8</v>
      </c>
      <c r="E7" s="14">
        <f>B7*C7*D7</f>
        <v/>
      </c>
      <c r="F7" s="8" t="inlineStr">
        <is>
          <t>73.2</t>
        </is>
      </c>
      <c r="G7" s="14">
        <f>IFERROR(VLOOKUP(F7, 'ОКВЭДы'!$A$2:$C$26, 3, FALSE), "")</f>
        <v/>
      </c>
      <c r="H7" s="14">
        <f>IFERROR(E7*G7, "")</f>
        <v/>
      </c>
    </row>
    <row r="8">
      <c r="A8" s="8" t="inlineStr">
        <is>
          <t>Методист программы форума</t>
        </is>
      </c>
      <c r="B8" s="14" t="n">
        <v>1</v>
      </c>
      <c r="C8" s="14" t="n">
        <v>4</v>
      </c>
      <c r="D8" s="14" t="n">
        <v>8</v>
      </c>
      <c r="E8" s="14">
        <f>B8*C8*D8</f>
        <v/>
      </c>
      <c r="F8" s="8" t="inlineStr">
        <is>
          <t>85</t>
        </is>
      </c>
      <c r="G8" s="14">
        <f>IFERROR(VLOOKUP(F8, 'ОКВЭДы'!$A$2:$C$26, 3, FALSE), "")</f>
        <v/>
      </c>
      <c r="H8" s="14">
        <f>IFERROR(E8*G8, "")</f>
        <v/>
      </c>
    </row>
    <row r="9">
      <c r="A9" s="8" t="inlineStr">
        <is>
          <t>Администратор площадки</t>
        </is>
      </c>
      <c r="B9" s="14" t="n">
        <v>1</v>
      </c>
      <c r="C9" s="14" t="n">
        <v>3</v>
      </c>
      <c r="D9" s="14" t="n">
        <v>8</v>
      </c>
      <c r="E9" s="14">
        <f>B9*C9*D9</f>
        <v/>
      </c>
      <c r="F9" s="8" t="inlineStr">
        <is>
          <t>82</t>
        </is>
      </c>
      <c r="G9" s="14">
        <f>IFERROR(VLOOKUP(F9, 'ОКВЭДы'!$A$2:$C$26, 3, FALSE), "")</f>
        <v/>
      </c>
      <c r="H9" s="14">
        <f>IFERROR(E9*G9, "")</f>
        <v/>
      </c>
    </row>
    <row r="10">
      <c r="A10" s="8" t="n"/>
      <c r="B10" s="8" t="n"/>
      <c r="C10" s="8" t="n"/>
      <c r="D10" s="8" t="n"/>
      <c r="E10" s="14">
        <f>B10*C10*D10</f>
        <v/>
      </c>
      <c r="F10" s="8" t="n"/>
      <c r="G10" s="14">
        <f>IFERROR(VLOOKUP(F10, 'ОКВЭДы'!$A$2:$C$26, 3, FALSE), "")</f>
        <v/>
      </c>
      <c r="H10" s="14">
        <f>IFERROR(E10*G10, "")</f>
        <v/>
      </c>
    </row>
    <row r="11">
      <c r="A11" s="8" t="n"/>
      <c r="B11" s="8" t="n"/>
      <c r="C11" s="8" t="n"/>
      <c r="D11" s="8" t="n"/>
      <c r="E11" s="14">
        <f>B11*C11*D11</f>
        <v/>
      </c>
      <c r="F11" s="8" t="n"/>
      <c r="G11" s="14">
        <f>IFERROR(VLOOKUP(F11, 'ОКВЭДы'!$A$2:$C$26, 3, FALSE), "")</f>
        <v/>
      </c>
      <c r="H11" s="14">
        <f>IFERROR(E11*G11, "")</f>
        <v/>
      </c>
    </row>
    <row r="12">
      <c r="A12" s="8" t="n"/>
      <c r="B12" s="8" t="n"/>
      <c r="C12" s="8" t="n"/>
      <c r="D12" s="8" t="n"/>
      <c r="E12" s="14">
        <f>B12*C12*D12</f>
        <v/>
      </c>
      <c r="F12" s="8" t="n"/>
      <c r="G12" s="14">
        <f>IFERROR(VLOOKUP(F12, 'ОКВЭДы'!$A$2:$C$26, 3, FALSE), "")</f>
        <v/>
      </c>
      <c r="H12" s="14">
        <f>IFERROR(E12*G12, "")</f>
        <v/>
      </c>
    </row>
    <row r="13">
      <c r="A13" s="8" t="n"/>
      <c r="B13" s="8" t="n"/>
      <c r="C13" s="8" t="n"/>
      <c r="D13" s="8" t="n"/>
      <c r="E13" s="14">
        <f>B13*C13*D13</f>
        <v/>
      </c>
      <c r="F13" s="8" t="n"/>
      <c r="G13" s="14">
        <f>IFERROR(VLOOKUP(F13, 'ОКВЭДы'!$A$2:$C$26, 3, FALSE), "")</f>
        <v/>
      </c>
      <c r="H13" s="14">
        <f>IFERROR(E13*G13, "")</f>
        <v/>
      </c>
    </row>
    <row r="14">
      <c r="A14" s="8" t="n"/>
      <c r="B14" s="8" t="n"/>
      <c r="C14" s="8" t="n"/>
      <c r="D14" s="8" t="n"/>
      <c r="E14" s="14">
        <f>B14*C14*D14</f>
        <v/>
      </c>
      <c r="F14" s="8" t="n"/>
      <c r="G14" s="14">
        <f>IFERROR(VLOOKUP(F14, 'ОКВЭДы'!$A$2:$C$26, 3, FALSE), "")</f>
        <v/>
      </c>
      <c r="H14" s="14">
        <f>IFERROR(E14*G14, "")</f>
        <v/>
      </c>
    </row>
    <row r="15">
      <c r="A15" s="8" t="n"/>
      <c r="B15" s="8" t="n"/>
      <c r="C15" s="8" t="n"/>
      <c r="D15" s="8" t="n"/>
      <c r="E15" s="14">
        <f>B15*C15*D15</f>
        <v/>
      </c>
      <c r="F15" s="8" t="n"/>
      <c r="G15" s="14">
        <f>IFERROR(VLOOKUP(F15, 'ОКВЭДы'!$A$2:$C$26, 3, FALSE), "")</f>
        <v/>
      </c>
      <c r="H15" s="14">
        <f>IFERROR(E15*G15, "")</f>
        <v/>
      </c>
    </row>
    <row r="16">
      <c r="A16" s="8" t="n"/>
      <c r="B16" s="8" t="n"/>
      <c r="C16" s="8" t="n"/>
      <c r="D16" s="8" t="n"/>
      <c r="E16" s="14">
        <f>B16*C16*D16</f>
        <v/>
      </c>
      <c r="F16" s="8" t="n"/>
      <c r="G16" s="14">
        <f>IFERROR(VLOOKUP(F16, 'ОКВЭДы'!$A$2:$C$26, 3, FALSE), "")</f>
        <v/>
      </c>
      <c r="H16" s="14">
        <f>IFERROR(E16*G16, "")</f>
        <v/>
      </c>
    </row>
    <row r="17">
      <c r="A17" s="8" t="n"/>
      <c r="B17" s="8" t="n"/>
      <c r="C17" s="8" t="n"/>
      <c r="D17" s="8" t="n"/>
      <c r="E17" s="14">
        <f>B17*C17*D17</f>
        <v/>
      </c>
      <c r="F17" s="8" t="n"/>
      <c r="G17" s="14">
        <f>IFERROR(VLOOKUP(F17, 'ОКВЭДы'!$A$2:$C$26, 3, FALSE), "")</f>
        <v/>
      </c>
      <c r="H17" s="14">
        <f>IFERROR(E17*G17, "")</f>
        <v/>
      </c>
    </row>
    <row r="18">
      <c r="A18" s="8" t="n"/>
      <c r="B18" s="8" t="n"/>
      <c r="C18" s="8" t="n"/>
      <c r="D18" s="8" t="n"/>
      <c r="E18" s="14">
        <f>B18*C18*D18</f>
        <v/>
      </c>
      <c r="F18" s="8" t="n"/>
      <c r="G18" s="14">
        <f>IFERROR(VLOOKUP(F18, 'ОКВЭДы'!$A$2:$C$26, 3, FALSE), "")</f>
        <v/>
      </c>
      <c r="H18" s="14">
        <f>IFERROR(E18*G18, "")</f>
        <v/>
      </c>
    </row>
    <row r="19">
      <c r="A19" s="8" t="n"/>
      <c r="B19" s="8" t="n"/>
      <c r="C19" s="8" t="n"/>
      <c r="D19" s="8" t="n"/>
      <c r="E19" s="14">
        <f>B19*C19*D19</f>
        <v/>
      </c>
      <c r="F19" s="8" t="n"/>
      <c r="G19" s="14">
        <f>IFERROR(VLOOKUP(F19, 'ОКВЭДы'!$A$2:$C$26, 3, FALSE), "")</f>
        <v/>
      </c>
      <c r="H19" s="14">
        <f>IFERROR(E19*G19, "")</f>
        <v/>
      </c>
    </row>
    <row r="20">
      <c r="A20" s="8" t="n"/>
      <c r="B20" s="8" t="n"/>
      <c r="C20" s="8" t="n"/>
      <c r="D20" s="8" t="n"/>
      <c r="E20" s="14">
        <f>B20*C20*D20</f>
        <v/>
      </c>
      <c r="F20" s="8" t="n"/>
      <c r="G20" s="14">
        <f>IFERROR(VLOOKUP(F20, 'ОКВЭДы'!$A$2:$C$26, 3, FALSE), "")</f>
        <v/>
      </c>
      <c r="H20" s="14">
        <f>IFERROR(E20*G20, "")</f>
        <v/>
      </c>
    </row>
    <row r="21">
      <c r="A21" s="8" t="n"/>
      <c r="B21" s="8" t="n"/>
      <c r="C21" s="8" t="n"/>
      <c r="D21" s="8" t="n"/>
      <c r="E21" s="14">
        <f>B21*C21*D21</f>
        <v/>
      </c>
      <c r="F21" s="8" t="n"/>
      <c r="G21" s="14">
        <f>IFERROR(VLOOKUP(F21, 'ОКВЭДы'!$A$2:$C$26, 3, FALSE), "")</f>
        <v/>
      </c>
      <c r="H21" s="14">
        <f>IFERROR(E21*G21, "")</f>
        <v/>
      </c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11" t="inlineStr">
        <is>
          <t>ИТОГО ФОТ:</t>
        </is>
      </c>
      <c r="B23" s="8" t="n"/>
      <c r="C23" s="8" t="n"/>
      <c r="D23" s="8" t="n"/>
      <c r="E23" s="8" t="n"/>
      <c r="F23" s="8" t="n"/>
      <c r="G23" s="8" t="n"/>
      <c r="H23" s="15">
        <f>SUM(H2:H21)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2" customWidth="1" min="3" max="3"/>
    <col width="18" customWidth="1" min="4" max="4"/>
    <col width="18" customWidth="1" min="5" max="5"/>
  </cols>
  <sheetData>
    <row r="1">
      <c r="A1" s="7" t="inlineStr">
        <is>
          <t>позиция</t>
        </is>
      </c>
      <c r="B1" s="7" t="inlineStr">
        <is>
          <t>ед_изм</t>
        </is>
      </c>
      <c r="C1" s="7" t="inlineStr">
        <is>
          <t>количество</t>
        </is>
      </c>
      <c r="D1" s="7" t="inlineStr">
        <is>
          <t>средняя_цена_руб</t>
        </is>
      </c>
      <c r="E1" s="7" t="inlineStr">
        <is>
          <t>сумма_руб</t>
        </is>
      </c>
    </row>
    <row r="2">
      <c r="A2" s="8" t="inlineStr">
        <is>
          <t>Аренда проводных микрофонов с подставками</t>
        </is>
      </c>
      <c r="B2" s="8" t="inlineStr">
        <is>
          <t>шт. на 3 дня</t>
        </is>
      </c>
      <c r="C2" s="14" t="n">
        <v>5</v>
      </c>
      <c r="D2" s="14">
        <f>'Анализ_рынка'!H2</f>
        <v/>
      </c>
      <c r="E2" s="14">
        <f>IFERROR(C2*D2, "")</f>
        <v/>
      </c>
    </row>
    <row r="3">
      <c r="A3" s="8" t="inlineStr">
        <is>
          <t>Аренда активных акустических колонок</t>
        </is>
      </c>
      <c r="B3" s="8" t="inlineStr">
        <is>
          <t>шт. на 3 дня</t>
        </is>
      </c>
      <c r="C3" s="14" t="n">
        <v>4</v>
      </c>
      <c r="D3" s="14">
        <f>'Анализ_рынка'!H3</f>
        <v/>
      </c>
      <c r="E3" s="14">
        <f>IFERROR(C3*D3, "")</f>
        <v/>
      </c>
    </row>
    <row r="4">
      <c r="A4" s="8" t="inlineStr">
        <is>
          <t>Печать программы форума А5, 4 полосы, тираж 300</t>
        </is>
      </c>
      <c r="B4" s="8" t="inlineStr">
        <is>
          <t>тираж</t>
        </is>
      </c>
      <c r="C4" s="14" t="n">
        <v>1</v>
      </c>
      <c r="D4" s="14">
        <f>'Анализ_рынка'!H4</f>
        <v/>
      </c>
      <c r="E4" s="14">
        <f>IFERROR(C4*D4, "")</f>
        <v/>
      </c>
    </row>
    <row r="5">
      <c r="A5" s="8" t="inlineStr">
        <is>
          <t>Пластиковые бейджи 90x60 мм с лентой</t>
        </is>
      </c>
      <c r="B5" s="8" t="inlineStr">
        <is>
          <t>шт.</t>
        </is>
      </c>
      <c r="C5" s="14" t="n">
        <v>300</v>
      </c>
      <c r="D5" s="14">
        <f>'Анализ_рынка'!H5</f>
        <v/>
      </c>
      <c r="E5" s="14">
        <f>IFERROR(C5*D5, "")</f>
        <v/>
      </c>
    </row>
    <row r="6">
      <c r="A6" s="8" t="inlineStr">
        <is>
          <t>Брендированные блокноты А5 с ручкой</t>
        </is>
      </c>
      <c r="B6" s="8" t="inlineStr">
        <is>
          <t>комплект</t>
        </is>
      </c>
      <c r="C6" s="14" t="n">
        <v>300</v>
      </c>
      <c r="D6" s="14">
        <f>'Анализ_рынка'!H6</f>
        <v/>
      </c>
      <c r="E6" s="14">
        <f>IFERROR(C6*D6, "")</f>
        <v/>
      </c>
    </row>
    <row r="7">
      <c r="A7" s="8" t="inlineStr">
        <is>
          <t>Печать плакатов А1 для навигации</t>
        </is>
      </c>
      <c r="B7" s="8" t="inlineStr">
        <is>
          <t>шт.</t>
        </is>
      </c>
      <c r="C7" s="14" t="n">
        <v>10</v>
      </c>
      <c r="D7" s="14">
        <f>'Анализ_рынка'!H7</f>
        <v/>
      </c>
      <c r="E7" s="14">
        <f>IFERROR(C7*D7, "")</f>
        <v/>
      </c>
    </row>
    <row r="8">
      <c r="A8" s="8" t="n"/>
      <c r="B8" s="8" t="n"/>
      <c r="C8" s="8" t="n"/>
      <c r="D8" s="10" t="n"/>
      <c r="E8" s="14">
        <f>IFERROR(C8*D8, "")</f>
        <v/>
      </c>
    </row>
    <row r="9">
      <c r="A9" s="8" t="n"/>
      <c r="B9" s="8" t="n"/>
      <c r="C9" s="8" t="n"/>
      <c r="D9" s="10" t="n"/>
      <c r="E9" s="14">
        <f>IFERROR(C9*D9, "")</f>
        <v/>
      </c>
    </row>
    <row r="10">
      <c r="A10" s="8" t="n"/>
      <c r="B10" s="8" t="n"/>
      <c r="C10" s="8" t="n"/>
      <c r="D10" s="10" t="n"/>
      <c r="E10" s="14">
        <f>IFERROR(C10*D10, "")</f>
        <v/>
      </c>
    </row>
    <row r="11">
      <c r="A11" s="8" t="n"/>
      <c r="B11" s="8" t="n"/>
      <c r="C11" s="8" t="n"/>
      <c r="D11" s="10" t="n"/>
      <c r="E11" s="14">
        <f>IFERROR(C11*D11, "")</f>
        <v/>
      </c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11" t="inlineStr">
        <is>
          <t>ИТОГО ТМЦ:</t>
        </is>
      </c>
      <c r="B14" s="8" t="n"/>
      <c r="C14" s="8" t="n"/>
      <c r="D14" s="8" t="n"/>
      <c r="E14" s="15">
        <f>SUM(E2:E11)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34" customWidth="1" min="3" max="3"/>
    <col width="12" customWidth="1" min="4" max="4"/>
    <col width="34" customWidth="1" min="5" max="5"/>
    <col width="12" customWidth="1" min="6" max="6"/>
    <col width="34" customWidth="1" min="7" max="7"/>
    <col width="14" customWidth="1" min="8" max="8"/>
    <col width="16" customWidth="1" min="9" max="9"/>
    <col width="12" customWidth="1" min="10" max="10"/>
    <col width="16" customWidth="1" min="11" max="11"/>
    <col width="48" customWidth="1" min="13" max="13"/>
    <col width="8" customWidth="1" min="14" max="14"/>
    <col width="70" customWidth="1" min="15" max="15"/>
    <col width="12" customWidth="1" min="16" max="16"/>
    <col width="14" customWidth="1" min="17" max="17"/>
    <col width="50" customWidth="1" min="18" max="18"/>
  </cols>
  <sheetData>
    <row r="1">
      <c r="A1" s="7" t="inlineStr">
        <is>
          <t>позиция</t>
        </is>
      </c>
      <c r="B1" s="7" t="inlineStr">
        <is>
          <t>КП-1, ₽</t>
        </is>
      </c>
      <c r="C1" s="7" t="inlineStr">
        <is>
          <t>скрин КП-1</t>
        </is>
      </c>
      <c r="D1" s="7" t="inlineStr">
        <is>
          <t>КП-2, ₽</t>
        </is>
      </c>
      <c r="E1" s="7" t="inlineStr">
        <is>
          <t>скрин КП-2</t>
        </is>
      </c>
      <c r="F1" s="7" t="inlineStr">
        <is>
          <t>КП-3, ₽</t>
        </is>
      </c>
      <c r="G1" s="7" t="inlineStr">
        <is>
          <t>скрин КП-3</t>
        </is>
      </c>
      <c r="H1" s="7" t="inlineStr">
        <is>
          <t>СРЕДНЕЕ</t>
        </is>
      </c>
      <c r="I1" s="7" t="inlineStr">
        <is>
          <t>СТАНДОТКЛОН</t>
        </is>
      </c>
      <c r="J1" s="7" t="inlineStr">
        <is>
          <t>КВ, %</t>
        </is>
      </c>
      <c r="K1" s="7" t="inlineStr">
        <is>
          <t>проверка ≤ 20%</t>
        </is>
      </c>
      <c r="L1" s="8" t="n"/>
      <c r="M1" s="7" t="inlineStr">
        <is>
          <t>Проверка источников ценовой информации</t>
        </is>
      </c>
      <c r="N1" s="8" t="n"/>
      <c r="O1" s="8" t="n"/>
      <c r="P1" s="8" t="n"/>
      <c r="Q1" s="8" t="n"/>
      <c r="R1" s="8" t="n"/>
    </row>
    <row r="2">
      <c r="A2" s="8" t="inlineStr">
        <is>
          <t>Аренда проводных микрофонов с подставками</t>
        </is>
      </c>
      <c r="B2" s="14" t="n">
        <v>2100</v>
      </c>
      <c r="C2" s="8" t="inlineStr">
        <is>
          <t>offers/01_microphones/kp-1.png</t>
        </is>
      </c>
      <c r="D2" s="14" t="n">
        <v>1600</v>
      </c>
      <c r="E2" s="8" t="inlineStr">
        <is>
          <t>offers/01_microphones/kp-2.png</t>
        </is>
      </c>
      <c r="F2" s="14" t="n">
        <v>2250</v>
      </c>
      <c r="G2" s="8" t="inlineStr">
        <is>
          <t>offers/01_microphones/kp-3.png</t>
        </is>
      </c>
      <c r="H2" s="14">
        <f>IFERROR(AVERAGE(B2,D2,F2), "")</f>
        <v/>
      </c>
      <c r="I2" s="14">
        <f>IFERROR(STDEV(B2,D2,F2), "")</f>
        <v/>
      </c>
      <c r="J2" s="14">
        <f>IFERROR(I2/H2*100, "")</f>
        <v/>
      </c>
      <c r="K2" s="14">
        <f>IF(J2="", "", IF(J2&lt;=20, "OK", "превышение"))</f>
        <v/>
      </c>
      <c r="L2" s="8" t="n"/>
      <c r="M2" s="8" t="inlineStr">
        <is>
          <t>позиция</t>
        </is>
      </c>
      <c r="N2" s="8" t="inlineStr">
        <is>
          <t>КП</t>
        </is>
      </c>
      <c r="O2" s="8" t="inlineStr">
        <is>
          <t>URL</t>
        </is>
      </c>
      <c r="P2" s="8" t="inlineStr">
        <is>
          <t>цена</t>
        </is>
      </c>
      <c r="Q2" s="8" t="inlineStr">
        <is>
          <t>статус</t>
        </is>
      </c>
      <c r="R2" s="8" t="inlineStr">
        <is>
          <t>примечание</t>
        </is>
      </c>
    </row>
    <row r="3">
      <c r="A3" s="8" t="inlineStr">
        <is>
          <t>Аренда активных акустических колонок</t>
        </is>
      </c>
      <c r="B3" s="14" t="n">
        <v>9000</v>
      </c>
      <c r="C3" s="8" t="inlineStr">
        <is>
          <t>offers/02_speakers/kp-1.png</t>
        </is>
      </c>
      <c r="D3" s="14" t="n">
        <v>10500</v>
      </c>
      <c r="E3" s="8" t="inlineStr">
        <is>
          <t>offers/02_speakers/kp-2.png</t>
        </is>
      </c>
      <c r="F3" s="14" t="n">
        <v>9375</v>
      </c>
      <c r="G3" s="8" t="inlineStr">
        <is>
          <t>offers/02_speakers/kp-3.png</t>
        </is>
      </c>
      <c r="H3" s="14">
        <f>IFERROR(AVERAGE(B3,D3,F3), "")</f>
        <v/>
      </c>
      <c r="I3" s="14">
        <f>IFERROR(STDEV(B3,D3,F3), "")</f>
        <v/>
      </c>
      <c r="J3" s="14">
        <f>IFERROR(I3/H3*100, "")</f>
        <v/>
      </c>
      <c r="K3" s="14">
        <f>IF(J3="", "", IF(J3&lt;=20, "OK", "превышение"))</f>
        <v/>
      </c>
      <c r="L3" s="8" t="n"/>
      <c r="M3" s="8" t="inlineStr">
        <is>
          <t>Аренда проводных микрофонов с подставками</t>
        </is>
      </c>
      <c r="N3" s="8" t="inlineStr">
        <is>
          <t>КП-1</t>
        </is>
      </c>
      <c r="O3" s="8" t="inlineStr">
        <is>
          <t>https://rl-tech.ru/arenda-zvukovogo-oborudovaniya/arenda-microphona/</t>
        </is>
      </c>
      <c r="P3" s="14" t="n">
        <v>2100</v>
      </c>
      <c r="Q3" s="8" t="inlineStr">
        <is>
          <t>одобрено</t>
        </is>
      </c>
      <c r="R3" s="8" t="inlineStr">
        <is>
          <t>проводной микрофон со стойкой, 3 дня: 1500 + 300 + 300</t>
        </is>
      </c>
    </row>
    <row r="4">
      <c r="A4" s="8" t="inlineStr">
        <is>
          <t>Печать программы форума А5, 4 полосы, тираж 300</t>
        </is>
      </c>
      <c r="B4" s="14" t="n">
        <v>3000</v>
      </c>
      <c r="C4" s="8" t="inlineStr">
        <is>
          <t>offers/03_programs_a5/kp-1.png</t>
        </is>
      </c>
      <c r="D4" s="14" t="n">
        <v>2610</v>
      </c>
      <c r="E4" s="8" t="inlineStr">
        <is>
          <t>offers/03_programs_a5/kp-2.png</t>
        </is>
      </c>
      <c r="F4" s="14" t="n">
        <v>2100</v>
      </c>
      <c r="G4" s="8" t="inlineStr">
        <is>
          <t>offers/03_programs_a5/kp-3.png</t>
        </is>
      </c>
      <c r="H4" s="14">
        <f>IFERROR(AVERAGE(B4,D4,F4), "")</f>
        <v/>
      </c>
      <c r="I4" s="14">
        <f>IFERROR(STDEV(B4,D4,F4), "")</f>
        <v/>
      </c>
      <c r="J4" s="14">
        <f>IFERROR(I4/H4*100, "")</f>
        <v/>
      </c>
      <c r="K4" s="14">
        <f>IF(J4="", "", IF(J4&lt;=20, "OK", "превышение"))</f>
        <v/>
      </c>
      <c r="L4" s="8" t="n"/>
      <c r="M4" s="8" t="inlineStr">
        <is>
          <t>Аренда проводных микрофонов с подставками</t>
        </is>
      </c>
      <c r="N4" s="8" t="inlineStr">
        <is>
          <t>КП-2</t>
        </is>
      </c>
      <c r="O4" s="8" t="inlineStr">
        <is>
          <t>https://lsmedia-sound.ru/microfone</t>
        </is>
      </c>
      <c r="P4" s="14" t="n">
        <v>1600</v>
      </c>
      <c r="Q4" s="8" t="inlineStr">
        <is>
          <t>одобрено</t>
        </is>
      </c>
      <c r="R4" s="8" t="inlineStr">
        <is>
          <t>Shure SM58, 500 руб/сут, 3 дня + сопоставимая стойка/базовая коммутация; приведено к комплекту ТЗ</t>
        </is>
      </c>
    </row>
    <row r="5">
      <c r="A5" s="8" t="inlineStr">
        <is>
          <t>Пластиковые бейджи 90x60 мм с лентой</t>
        </is>
      </c>
      <c r="B5" s="14" t="n">
        <v>47</v>
      </c>
      <c r="C5" s="8" t="inlineStr">
        <is>
          <t>offers/04_badges/kp-1.png</t>
        </is>
      </c>
      <c r="D5" s="14" t="n">
        <v>42</v>
      </c>
      <c r="E5" s="8" t="inlineStr">
        <is>
          <t>offers/04_badges/kp-2.png</t>
        </is>
      </c>
      <c r="F5" s="14" t="n">
        <v>39</v>
      </c>
      <c r="G5" s="8" t="inlineStr">
        <is>
          <t>offers/04_badges/kp-3.png</t>
        </is>
      </c>
      <c r="H5" s="14">
        <f>IFERROR(AVERAGE(B5,D5,F5), "")</f>
        <v/>
      </c>
      <c r="I5" s="14">
        <f>IFERROR(STDEV(B5,D5,F5), "")</f>
        <v/>
      </c>
      <c r="J5" s="14">
        <f>IFERROR(I5/H5*100, "")</f>
        <v/>
      </c>
      <c r="K5" s="14">
        <f>IF(J5="", "", IF(J5&lt;=20, "OK", "превышение"))</f>
        <v/>
      </c>
      <c r="L5" s="8" t="n"/>
      <c r="M5" s="8" t="inlineStr">
        <is>
          <t>Аренда проводных микрофонов с подставками</t>
        </is>
      </c>
      <c r="N5" s="8" t="inlineStr">
        <is>
          <t>КП-3</t>
        </is>
      </c>
      <c r="O5" s="8" t="inlineStr">
        <is>
          <t>https://www.mistervo.ru/catalog/arenda_zvuka/arenda_microphonov-arenda-megafonov/shnurovye-mikrofony-shure-sm-58.html</t>
        </is>
      </c>
      <c r="P5" s="14" t="n">
        <v>2250</v>
      </c>
      <c r="Q5" s="8" t="inlineStr">
        <is>
          <t>одобрено</t>
        </is>
      </c>
      <c r="R5" s="8" t="inlineStr">
        <is>
          <t>Shure SM58, 750 руб/сут, 3 дня</t>
        </is>
      </c>
    </row>
    <row r="6">
      <c r="A6" s="8" t="inlineStr">
        <is>
          <t>Брендированные блокноты А5 с ручкой</t>
        </is>
      </c>
      <c r="B6" s="14" t="n">
        <v>466.95</v>
      </c>
      <c r="C6" s="8" t="inlineStr">
        <is>
          <t>offers/05_notebooks_pens/kp-1.png</t>
        </is>
      </c>
      <c r="D6" s="14" t="n">
        <v>454.33</v>
      </c>
      <c r="E6" s="8" t="inlineStr">
        <is>
          <t>offers/05_notebooks_pens/kp-2.png</t>
        </is>
      </c>
      <c r="F6" s="14" t="n">
        <v>521</v>
      </c>
      <c r="G6" s="8" t="inlineStr">
        <is>
          <t>offers/05_notebooks_pens/kp-3.png</t>
        </is>
      </c>
      <c r="H6" s="14">
        <f>IFERROR(AVERAGE(B6,D6,F6), "")</f>
        <v/>
      </c>
      <c r="I6" s="14">
        <f>IFERROR(STDEV(B6,D6,F6), "")</f>
        <v/>
      </c>
      <c r="J6" s="14">
        <f>IFERROR(I6/H6*100, "")</f>
        <v/>
      </c>
      <c r="K6" s="14">
        <f>IF(J6="", "", IF(J6&lt;=20, "OK", "превышение"))</f>
        <v/>
      </c>
      <c r="L6" s="8" t="n"/>
      <c r="M6" s="8" t="inlineStr">
        <is>
          <t>Аренда активных акустических колонок</t>
        </is>
      </c>
      <c r="N6" s="8" t="inlineStr">
        <is>
          <t>КП-1</t>
        </is>
      </c>
      <c r="O6" s="8" t="inlineStr">
        <is>
          <t>https://profiprazdnik.ru/catalog/arenda-zvuka/</t>
        </is>
      </c>
      <c r="P6" s="14" t="n">
        <v>9000</v>
      </c>
      <c r="Q6" s="8" t="inlineStr">
        <is>
          <t>одобрено</t>
        </is>
      </c>
      <c r="R6" s="8" t="inlineStr">
        <is>
          <t>Mackie SRM 450, 3000 руб/сут, 3 дня</t>
        </is>
      </c>
    </row>
    <row r="7">
      <c r="A7" s="8" t="inlineStr">
        <is>
          <t>Печать плакатов А1 для навигации</t>
        </is>
      </c>
      <c r="B7" s="14" t="n">
        <v>198</v>
      </c>
      <c r="C7" s="8" t="inlineStr">
        <is>
          <t>offers/06_posters_a1/kp-1.png</t>
        </is>
      </c>
      <c r="D7" s="14" t="n">
        <v>250</v>
      </c>
      <c r="E7" s="8" t="inlineStr">
        <is>
          <t>offers/06_posters_a1/kp-2.png</t>
        </is>
      </c>
      <c r="F7" s="14" t="n">
        <v>199</v>
      </c>
      <c r="G7" s="8" t="inlineStr">
        <is>
          <t>offers/06_posters_a1/kp-3.png</t>
        </is>
      </c>
      <c r="H7" s="14">
        <f>IFERROR(AVERAGE(B7,D7,F7), "")</f>
        <v/>
      </c>
      <c r="I7" s="14">
        <f>IFERROR(STDEV(B7,D7,F7), "")</f>
        <v/>
      </c>
      <c r="J7" s="14">
        <f>IFERROR(I7/H7*100, "")</f>
        <v/>
      </c>
      <c r="K7" s="14">
        <f>IF(J7="", "", IF(J7&lt;=20, "OK", "превышение"))</f>
        <v/>
      </c>
      <c r="L7" s="8" t="n"/>
      <c r="M7" s="8" t="inlineStr">
        <is>
          <t>Аренда активных акустических колонок</t>
        </is>
      </c>
      <c r="N7" s="8" t="inlineStr">
        <is>
          <t>КП-2</t>
        </is>
      </c>
      <c r="O7" s="8" t="inlineStr">
        <is>
          <t>https://www.mistervo.ru/catalog/arenda_zvuka/arenda-zvukovogo-oborudovaniya-v-moskve/arenda-qsc-k12.2.html</t>
        </is>
      </c>
      <c r="P7" s="14" t="n">
        <v>10500</v>
      </c>
      <c r="Q7" s="8" t="inlineStr">
        <is>
          <t>одобрено</t>
        </is>
      </c>
      <c r="R7" s="8" t="inlineStr">
        <is>
          <t>QSC K12.2, 3500 руб/сут, 3 дня</t>
        </is>
      </c>
    </row>
    <row r="8">
      <c r="A8" s="8" t="n"/>
      <c r="B8" s="10" t="n"/>
      <c r="C8" s="8" t="n"/>
      <c r="D8" s="10" t="n"/>
      <c r="E8" s="8" t="n"/>
      <c r="F8" s="10" t="n"/>
      <c r="G8" s="8" t="n"/>
      <c r="H8" s="14">
        <f>IFERROR(AVERAGE(B8,D8,F8), "")</f>
        <v/>
      </c>
      <c r="I8" s="14">
        <f>IFERROR(STDEV(B8,D8,F8), "")</f>
        <v/>
      </c>
      <c r="J8" s="14">
        <f>IFERROR(I8/H8*100, "")</f>
        <v/>
      </c>
      <c r="K8" s="14">
        <f>IF(J8="", "", IF(J8&lt;=20, "OK", "превышение"))</f>
        <v/>
      </c>
      <c r="L8" s="8" t="n"/>
      <c r="M8" s="8" t="inlineStr">
        <is>
          <t>Аренда активных акустических колонок</t>
        </is>
      </c>
      <c r="N8" s="8" t="inlineStr">
        <is>
          <t>КП-3</t>
        </is>
      </c>
      <c r="O8" s="8" t="inlineStr">
        <is>
          <t>https://www.rentalservice.moscow/prokat/zvukovoe-oborudovanie/aktivnie-sistemi</t>
        </is>
      </c>
      <c r="P8" s="14" t="n">
        <v>9375</v>
      </c>
      <c r="Q8" s="8" t="inlineStr">
        <is>
          <t>одобрено</t>
        </is>
      </c>
      <c r="R8" s="8" t="inlineStr">
        <is>
          <t>активная акустическая система, 3125 руб/сут, 3 дня</t>
        </is>
      </c>
    </row>
    <row r="9">
      <c r="A9" s="8" t="n"/>
      <c r="B9" s="10" t="n"/>
      <c r="C9" s="8" t="n"/>
      <c r="D9" s="10" t="n"/>
      <c r="E9" s="8" t="n"/>
      <c r="F9" s="10" t="n"/>
      <c r="G9" s="8" t="n"/>
      <c r="H9" s="14">
        <f>IFERROR(AVERAGE(B9,D9,F9), "")</f>
        <v/>
      </c>
      <c r="I9" s="14">
        <f>IFERROR(STDEV(B9,D9,F9), "")</f>
        <v/>
      </c>
      <c r="J9" s="14">
        <f>IFERROR(I9/H9*100, "")</f>
        <v/>
      </c>
      <c r="K9" s="14">
        <f>IF(J9="", "", IF(J9&lt;=20, "OK", "превышение"))</f>
        <v/>
      </c>
      <c r="L9" s="8" t="n"/>
      <c r="M9" s="8" t="inlineStr">
        <is>
          <t>Печать программы форума А5, 4 полосы, тираж 300</t>
        </is>
      </c>
      <c r="N9" s="8" t="inlineStr">
        <is>
          <t>КП-1</t>
        </is>
      </c>
      <c r="O9" s="8" t="inlineStr">
        <is>
          <t>https://poligrafiya-moscow.ru/pechat-listovok-a5.html</t>
        </is>
      </c>
      <c r="P9" s="14" t="n">
        <v>3000</v>
      </c>
      <c r="Q9" s="8" t="inlineStr">
        <is>
          <t>одобрено</t>
        </is>
      </c>
      <c r="R9" s="8" t="inlineStr">
        <is>
          <t>А5 4+4, тираж 300</t>
        </is>
      </c>
    </row>
    <row r="10">
      <c r="A10" s="8" t="n"/>
      <c r="B10" s="10" t="n"/>
      <c r="C10" s="8" t="n"/>
      <c r="D10" s="10" t="n"/>
      <c r="E10" s="8" t="n"/>
      <c r="F10" s="10" t="n"/>
      <c r="G10" s="8" t="n"/>
      <c r="H10" s="14">
        <f>IFERROR(AVERAGE(B10,D10,F10), "")</f>
        <v/>
      </c>
      <c r="I10" s="14">
        <f>IFERROR(STDEV(B10,D10,F10), "")</f>
        <v/>
      </c>
      <c r="J10" s="14">
        <f>IFERROR(I10/H10*100, "")</f>
        <v/>
      </c>
      <c r="K10" s="14">
        <f>IF(J10="", "", IF(J10&lt;=20, "OK", "превышение"))</f>
        <v/>
      </c>
      <c r="L10" s="8" t="n"/>
      <c r="M10" s="8" t="inlineStr">
        <is>
          <t>Печать программы форума А5, 4 полосы, тираж 300</t>
        </is>
      </c>
      <c r="N10" s="8" t="inlineStr">
        <is>
          <t>КП-2</t>
        </is>
      </c>
      <c r="O10" s="8" t="inlineStr">
        <is>
          <t>https://kopirka.ru/uslugi/operativnaya-poligrafiya/listovki/</t>
        </is>
      </c>
      <c r="P10" s="14" t="n">
        <v>2610</v>
      </c>
      <c r="Q10" s="8" t="inlineStr">
        <is>
          <t>одобрено</t>
        </is>
      </c>
      <c r="R10" s="8" t="inlineStr">
        <is>
          <t>листовка А5, тираж 300</t>
        </is>
      </c>
    </row>
    <row r="11">
      <c r="A11" s="8" t="n"/>
      <c r="B11" s="10" t="n"/>
      <c r="C11" s="8" t="n"/>
      <c r="D11" s="10" t="n"/>
      <c r="E11" s="8" t="n"/>
      <c r="F11" s="10" t="n"/>
      <c r="G11" s="8" t="n"/>
      <c r="H11" s="14">
        <f>IFERROR(AVERAGE(B11,D11,F11), "")</f>
        <v/>
      </c>
      <c r="I11" s="14">
        <f>IFERROR(STDEV(B11,D11,F11), "")</f>
        <v/>
      </c>
      <c r="J11" s="14">
        <f>IFERROR(I11/H11*100, "")</f>
        <v/>
      </c>
      <c r="K11" s="14">
        <f>IF(J11="", "", IF(J11&lt;=20, "OK", "превышение"))</f>
        <v/>
      </c>
      <c r="L11" s="8" t="n"/>
      <c r="M11" s="8" t="inlineStr">
        <is>
          <t>Печать программы форума А5, 4 полосы, тираж 300</t>
        </is>
      </c>
      <c r="N11" s="8" t="inlineStr">
        <is>
          <t>КП-3</t>
        </is>
      </c>
      <c r="O11" s="8" t="inlineStr">
        <is>
          <t>https://www.galla-m.ru/poligrafiya/listovki/listovki-a5/</t>
        </is>
      </c>
      <c r="P11" s="14" t="n">
        <v>2100</v>
      </c>
      <c r="Q11" s="8" t="inlineStr">
        <is>
          <t>одобрено</t>
        </is>
      </c>
      <c r="R11" s="8" t="inlineStr">
        <is>
          <t>листовки А5, тираж 300</t>
        </is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inlineStr">
        <is>
          <t>Пластиковые бейджи 90x60 мм с лентой</t>
        </is>
      </c>
      <c r="N12" s="8" t="inlineStr">
        <is>
          <t>КП-1</t>
        </is>
      </c>
      <c r="O12" s="8" t="inlineStr">
        <is>
          <t>https://www.bholder.ru/izgotovlenie-bejdzhej/bejdzhi-dlya-meropriyatij</t>
        </is>
      </c>
      <c r="P12" s="14" t="n">
        <v>47</v>
      </c>
      <c r="Q12" s="8" t="inlineStr">
        <is>
          <t>одобрено</t>
        </is>
      </c>
      <c r="R12" s="8" t="inlineStr">
        <is>
          <t>пластиковый бейдж с лентой, цена за шт при 300+</t>
        </is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inlineStr">
        <is>
          <t>Пластиковые бейджи 90x60 мм с лентой</t>
        </is>
      </c>
      <c r="N13" s="8" t="inlineStr">
        <is>
          <t>КП-2</t>
        </is>
      </c>
      <c r="O13" s="8" t="inlineStr">
        <is>
          <t>https://www.badgeshop.ru/catalog/materials/plastic/</t>
        </is>
      </c>
      <c r="P13" s="14" t="n">
        <v>42</v>
      </c>
      <c r="Q13" s="8" t="inlineStr">
        <is>
          <t>одобрено</t>
        </is>
      </c>
      <c r="R13" s="8" t="inlineStr">
        <is>
          <t>пластиковый бейдж 90x60, цена за шт</t>
        </is>
      </c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inlineStr">
        <is>
          <t>Пластиковые бейджи 90x60 мм с лентой</t>
        </is>
      </c>
      <c r="N14" s="8" t="inlineStr">
        <is>
          <t>КП-3</t>
        </is>
      </c>
      <c r="O14" s="8" t="inlineStr">
        <is>
          <t>https://shnurok.ru/product/plastikovyy-beydzh-razmerom-90x60mm/</t>
        </is>
      </c>
      <c r="P14" s="14" t="n">
        <v>39</v>
      </c>
      <c r="Q14" s="8" t="inlineStr">
        <is>
          <t>одобрено</t>
        </is>
      </c>
      <c r="R14" s="8" t="inlineStr">
        <is>
          <t>пластиковый бейдж 90x60, цена за шт при 300</t>
        </is>
      </c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inlineStr">
        <is>
          <t>Брендированные блокноты А5 с ручкой</t>
        </is>
      </c>
      <c r="N15" s="8" t="inlineStr">
        <is>
          <t>КП-1</t>
        </is>
      </c>
      <c r="O15" s="8" t="inlineStr">
        <is>
          <t>https://www.adverti.ru/diary/notebooks/sort_product-bloknot_s_ruchkoj/</t>
        </is>
      </c>
      <c r="P15" s="14" t="n">
        <v>466.95</v>
      </c>
      <c r="Q15" s="8" t="inlineStr">
        <is>
          <t>одобрено</t>
        </is>
      </c>
      <c r="R15" s="8" t="inlineStr">
        <is>
          <t>блокнот А5 Toledo M с ручкой, цена за комплект</t>
        </is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inlineStr">
        <is>
          <t>Брендированные блокноты А5 с ручкой</t>
        </is>
      </c>
      <c r="N16" s="8" t="inlineStr">
        <is>
          <t>КП-2</t>
        </is>
      </c>
      <c r="O16" s="8" t="inlineStr">
        <is>
          <t>https://prstyle.ru/catalog/ezhednevniki-i-planingi/bloknoty-s-ruchkoy/</t>
        </is>
      </c>
      <c r="P16" s="14" t="n">
        <v>454.33</v>
      </c>
      <c r="Q16" s="8" t="inlineStr">
        <is>
          <t>одобрено</t>
        </is>
      </c>
      <c r="R16" s="8" t="inlineStr">
        <is>
          <t>блокнот с ручкой А5 Write and stick, цена за комплект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inlineStr">
        <is>
          <t>Брендированные блокноты А5 с ручкой</t>
        </is>
      </c>
      <c r="N17" s="8" t="inlineStr">
        <is>
          <t>КП-3</t>
        </is>
      </c>
      <c r="O17" s="8" t="inlineStr">
        <is>
          <t>https://www.adverti.ru/diary/notebooks/sort_product-bloknot_s_ruchkoj/</t>
        </is>
      </c>
      <c r="P17" s="14" t="n">
        <v>521</v>
      </c>
      <c r="Q17" s="8" t="inlineStr">
        <is>
          <t>одобрено</t>
        </is>
      </c>
      <c r="R17" s="8" t="inlineStr">
        <is>
          <t>блокнот с ручкой Makron A5, цена за комплект</t>
        </is>
      </c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inlineStr">
        <is>
          <t>Печать плакатов А1 для навигации</t>
        </is>
      </c>
      <c r="N18" s="8" t="inlineStr">
        <is>
          <t>КП-1</t>
        </is>
      </c>
      <c r="O18" s="8" t="inlineStr">
        <is>
          <t>https://moscowyard.ru/shirokoformatnaya-pechat/pechat-plakaty-a1</t>
        </is>
      </c>
      <c r="P18" s="14" t="n">
        <v>198</v>
      </c>
      <c r="Q18" s="8" t="inlineStr">
        <is>
          <t>одобрено</t>
        </is>
      </c>
      <c r="R18" s="8" t="inlineStr">
        <is>
          <t>плакат А1, цена за шт</t>
        </is>
      </c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inlineStr">
        <is>
          <t>Печать плакатов А1 для навигации</t>
        </is>
      </c>
      <c r="N19" s="8" t="inlineStr">
        <is>
          <t>КП-2</t>
        </is>
      </c>
      <c r="O19" s="8" t="inlineStr">
        <is>
          <t>https://tprint.ru/pechat-plakatov-a1/</t>
        </is>
      </c>
      <c r="P19" s="14" t="n">
        <v>250</v>
      </c>
      <c r="Q19" s="8" t="inlineStr">
        <is>
          <t>одобрено</t>
        </is>
      </c>
      <c r="R19" s="8" t="inlineStr">
        <is>
          <t>плакат А1 обычная бумага, цена за шт</t>
        </is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inlineStr">
        <is>
          <t>Печать плакатов А1 для навигации</t>
        </is>
      </c>
      <c r="N20" s="8" t="inlineStr">
        <is>
          <t>КП-3</t>
        </is>
      </c>
      <c r="O20" s="8" t="inlineStr">
        <is>
          <t>https://pappermint.ru/plakati-pechat/a1</t>
        </is>
      </c>
      <c r="P20" s="14" t="n">
        <v>199</v>
      </c>
      <c r="Q20" s="8" t="inlineStr">
        <is>
          <t>одобрено</t>
        </is>
      </c>
      <c r="R20" s="8" t="inlineStr">
        <is>
          <t>плакат А1, 10 шт к оплате 1990, цена за шт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</cols>
  <sheetData>
    <row r="1">
      <c r="A1" s="7" t="inlineStr">
        <is>
          <t>okved_code</t>
        </is>
      </c>
      <c r="B1" s="7" t="inlineStr">
        <is>
          <t>название</t>
        </is>
      </c>
      <c r="C1" s="7" t="inlineStr">
        <is>
          <t>ставка_руб_час</t>
        </is>
      </c>
      <c r="D1" s="8" t="n"/>
      <c r="E1" s="7" t="inlineStr">
        <is>
          <t>Скопируй сюда только использованные в проекте строки из файла regulations/okved-rates-mos-ru.csv</t>
        </is>
      </c>
    </row>
    <row r="2">
      <c r="A2" s="8" t="inlineStr">
        <is>
          <t>59.2</t>
        </is>
      </c>
      <c r="B2" s="8" t="inlineStr">
        <is>
          <t>Деятельность в области звукозаписи и издания музыкальных произведений</t>
        </is>
      </c>
      <c r="C2" s="10" t="n">
        <v>1405</v>
      </c>
      <c r="D2" s="8" t="n"/>
      <c r="E2" s="8" t="n"/>
    </row>
    <row r="3">
      <c r="A3" s="8" t="inlineStr">
        <is>
          <t>73.2</t>
        </is>
      </c>
      <c r="B3" s="8" t="inlineStr">
        <is>
          <t>Исследование конъюнктуры рынка и общественного мнения</t>
        </is>
      </c>
      <c r="C3" s="10" t="n">
        <v>2890</v>
      </c>
      <c r="D3" s="8" t="n"/>
      <c r="E3" s="8" t="n"/>
    </row>
    <row r="4">
      <c r="A4" s="8" t="inlineStr">
        <is>
          <t>74.1</t>
        </is>
      </c>
      <c r="B4" s="8" t="inlineStr">
        <is>
          <t>Деятельность специализированная в области дизайна</t>
        </is>
      </c>
      <c r="C4" s="10" t="n">
        <v>1490</v>
      </c>
      <c r="D4" s="8" t="n"/>
      <c r="E4" s="8" t="n"/>
    </row>
    <row r="5">
      <c r="A5" s="8" t="inlineStr">
        <is>
          <t>82</t>
        </is>
      </c>
      <c r="B5" s="8" t="inlineStr">
        <is>
          <t>Деятельность административно-хозяйственная и вспомогательная</t>
        </is>
      </c>
      <c r="C5" s="10" t="n">
        <v>1485</v>
      </c>
      <c r="D5" s="8" t="n"/>
      <c r="E5" s="8" t="n"/>
    </row>
    <row r="6">
      <c r="A6" s="8" t="inlineStr">
        <is>
          <t>82.3</t>
        </is>
      </c>
      <c r="B6" s="8" t="inlineStr">
        <is>
          <t>Деятельность по организации конференций и выставок</t>
        </is>
      </c>
      <c r="C6" s="10" t="n">
        <v>2185</v>
      </c>
      <c r="D6" s="8" t="n"/>
      <c r="E6" s="8" t="n"/>
    </row>
    <row r="7">
      <c r="A7" s="8" t="inlineStr">
        <is>
          <t>85</t>
        </is>
      </c>
      <c r="B7" s="8" t="inlineStr">
        <is>
          <t>Образование</t>
        </is>
      </c>
      <c r="C7" s="10" t="n">
        <v>1130</v>
      </c>
      <c r="D7" s="8" t="n"/>
      <c r="E7" s="8" t="n"/>
    </row>
    <row r="8">
      <c r="A8" s="8" t="n"/>
      <c r="B8" s="8" t="n"/>
      <c r="C8" s="10" t="n"/>
      <c r="D8" s="8" t="n"/>
      <c r="E8" s="8" t="n"/>
    </row>
    <row r="9">
      <c r="A9" s="8" t="n"/>
      <c r="B9" s="8" t="n"/>
      <c r="C9" s="10" t="n"/>
      <c r="D9" s="8" t="n"/>
      <c r="E9" s="8" t="n"/>
    </row>
    <row r="10">
      <c r="A10" s="8" t="n"/>
      <c r="B10" s="8" t="n"/>
      <c r="C10" s="10" t="n"/>
      <c r="D10" s="8" t="n"/>
      <c r="E10" s="8" t="n"/>
    </row>
    <row r="11">
      <c r="A11" s="8" t="n"/>
      <c r="B11" s="8" t="n"/>
      <c r="C11" s="10" t="n"/>
      <c r="D11" s="8" t="n"/>
      <c r="E11" s="8" t="n"/>
    </row>
    <row r="12">
      <c r="A12" s="8" t="n"/>
      <c r="B12" s="8" t="n"/>
      <c r="C12" s="10" t="n"/>
      <c r="D12" s="8" t="n"/>
      <c r="E12" s="8" t="n"/>
    </row>
    <row r="13">
      <c r="A13" s="8" t="n"/>
      <c r="B13" s="8" t="n"/>
      <c r="C13" s="10" t="n"/>
      <c r="D13" s="8" t="n"/>
      <c r="E13" s="8" t="n"/>
    </row>
    <row r="14">
      <c r="A14" s="8" t="n"/>
      <c r="B14" s="8" t="n"/>
      <c r="C14" s="10" t="n"/>
      <c r="D14" s="8" t="n"/>
      <c r="E14" s="8" t="n"/>
    </row>
    <row r="15">
      <c r="A15" s="8" t="n"/>
      <c r="B15" s="8" t="n"/>
      <c r="C15" s="10" t="n"/>
      <c r="D15" s="8" t="n"/>
      <c r="E15" s="8" t="n"/>
    </row>
    <row r="16">
      <c r="A16" s="8" t="n"/>
      <c r="B16" s="8" t="n"/>
      <c r="C16" s="10" t="n"/>
      <c r="D16" s="8" t="n"/>
      <c r="E16" s="8" t="n"/>
    </row>
    <row r="17">
      <c r="A17" s="8" t="n"/>
      <c r="B17" s="8" t="n"/>
      <c r="C17" s="10" t="n"/>
      <c r="D17" s="8" t="n"/>
      <c r="E17" s="8" t="n"/>
    </row>
    <row r="18">
      <c r="A18" s="8" t="n"/>
      <c r="B18" s="8" t="n"/>
      <c r="C18" s="10" t="n"/>
      <c r="D18" s="8" t="n"/>
      <c r="E18" s="8" t="n"/>
    </row>
    <row r="19">
      <c r="A19" s="8" t="n"/>
      <c r="B19" s="8" t="n"/>
      <c r="C19" s="10" t="n"/>
      <c r="D19" s="8" t="n"/>
      <c r="E19" s="8" t="n"/>
    </row>
    <row r="20">
      <c r="A20" s="8" t="n"/>
      <c r="B20" s="8" t="n"/>
      <c r="C20" s="10" t="n"/>
      <c r="D20" s="8" t="n"/>
      <c r="E20" s="8" t="n"/>
    </row>
    <row r="21">
      <c r="A21" s="8" t="n"/>
      <c r="B21" s="8" t="n"/>
      <c r="C21" s="10" t="n"/>
      <c r="D21" s="8" t="n"/>
      <c r="E21" s="8" t="n"/>
    </row>
    <row r="22">
      <c r="A22" s="8" t="n"/>
      <c r="B22" s="8" t="n"/>
      <c r="C22" s="10" t="n"/>
      <c r="D22" s="8" t="n"/>
      <c r="E22" s="8" t="n"/>
    </row>
    <row r="23">
      <c r="A23" s="8" t="n"/>
      <c r="B23" s="8" t="n"/>
      <c r="C23" s="10" t="n"/>
      <c r="D23" s="8" t="n"/>
      <c r="E23" s="8" t="n"/>
    </row>
    <row r="24">
      <c r="A24" s="8" t="n"/>
      <c r="B24" s="8" t="n"/>
      <c r="C24" s="10" t="n"/>
      <c r="D24" s="8" t="n"/>
      <c r="E24" s="8" t="n"/>
    </row>
    <row r="25">
      <c r="A25" s="8" t="n"/>
      <c r="B25" s="8" t="n"/>
      <c r="C25" s="10" t="n"/>
      <c r="D25" s="8" t="n"/>
      <c r="E25" s="8" t="n"/>
    </row>
    <row r="26">
      <c r="A26" s="8" t="n"/>
      <c r="B26" s="8" t="n"/>
      <c r="C26" s="10" t="n"/>
      <c r="D26" s="8" t="n"/>
      <c r="E26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7" t="inlineStr">
        <is>
          <t>параметр</t>
        </is>
      </c>
      <c r="B1" s="7" t="inlineStr">
        <is>
          <t>значение</t>
        </is>
      </c>
    </row>
    <row r="2">
      <c r="A2" s="8" t="inlineStr">
        <is>
          <t>ФОТ (из листа Роли)</t>
        </is>
      </c>
      <c r="B2" s="14">
        <f>'Роли'!H23</f>
        <v/>
      </c>
    </row>
    <row r="3">
      <c r="A3" s="8" t="inlineStr">
        <is>
          <t>ТМЦ (из листа ТМЦ)</t>
        </is>
      </c>
      <c r="B3" s="14">
        <f>'ТМЦ'!E14</f>
        <v/>
      </c>
    </row>
    <row r="4">
      <c r="A4" s="8" t="inlineStr">
        <is>
          <t>Прямые затраты</t>
        </is>
      </c>
      <c r="B4" s="14">
        <f>B2+B3</f>
        <v/>
      </c>
    </row>
    <row r="5">
      <c r="A5" s="8" t="inlineStr">
        <is>
          <t>Накладные расходы (20% от прямых)</t>
        </is>
      </c>
      <c r="B5" s="14">
        <f>B4*0.2</f>
        <v/>
      </c>
    </row>
    <row r="6">
      <c r="A6" s="8" t="inlineStr">
        <is>
          <t>Прибыль (5% от прямых)</t>
        </is>
      </c>
      <c r="B6" s="14">
        <f>B4*0.05</f>
        <v/>
      </c>
    </row>
    <row r="7">
      <c r="A7" s="8" t="inlineStr">
        <is>
          <t>Итого без НДС</t>
        </is>
      </c>
      <c r="B7" s="14">
        <f>B4+B5+B6</f>
        <v/>
      </c>
    </row>
    <row r="8">
      <c r="A8" s="8" t="inlineStr">
        <is>
          <t>НДС (20%, сверху)</t>
        </is>
      </c>
      <c r="B8" s="14">
        <f>B7*0.2</f>
        <v/>
      </c>
    </row>
    <row r="9">
      <c r="A9" s="11" t="inlineStr">
        <is>
          <t>ИТОГОВАЯ СТАРТОВАЯ ЦЕНА</t>
        </is>
      </c>
      <c r="B9" s="15">
        <f>B7+B8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2026-06-04T13:01:57Z</dcterms:created>
  <dcterms:modified xmlns:dcterms="http://purl.org/dc/terms/" xmlns:xsi="http://www.w3.org/2001/XMLSchema-instance" xsi:type="dcterms:W3CDTF">2026-06-18T07:33:46Z</dcterms:modified>
</cp:coreProperties>
</file>